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1" windowHeight="10920" activeTab="2"/>
  </bookViews>
  <sheets>
    <sheet name="药方库" sheetId="3" r:id="rId1"/>
    <sheet name="问题库" sheetId="1" r:id="rId2"/>
    <sheet name="答案库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053969169A24C5BB28A523DED0B64BB" descr="e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4965" y="180340"/>
          <a:ext cx="2856865" cy="2930525"/>
        </a:xfrm>
        <a:prstGeom prst="rect">
          <a:avLst/>
        </a:prstGeom>
      </xdr:spPr>
    </xdr:pic>
    <etc:extObjData etc:type="44B7C0F4-79DB-4F8B-9303-0E098D69D8BE" etc:data="ewoJIkxhc3RVcmwiIDogImh0dHBzOi8vcGVyc29uYWwtYWN0Lndwcy5jbi92aXAtc3BhLzIwMjMvcXJjb2Rlc2Nhbi9pbmRleC5odG1sP3RleHQ96aaZ6L+e5q2i55ei5Li4JnRleHRUeXBlPXRleHQmcm91bmQ9MCZnY0NvbG9yPSUyMzAwMDAwMCZncmFkaWVudFdheT1jaXJjdWxhciIsCgkiTG9nbyIgOiAiIiwKCSJPcmlnaW5hbFVybCIgOiAiaHR0cHM6Ly9wZXJzb25hbC1hY3Qud3BzLmNuL3ZpcC1zcGEvMjAyMy9xcmNvZGVzY2FuL2luZGV4Lmh0bWwiCn0K"/>
  </etc:cellImage>
</etc:cellImages>
</file>

<file path=xl/sharedStrings.xml><?xml version="1.0" encoding="utf-8"?>
<sst xmlns="http://schemas.openxmlformats.org/spreadsheetml/2006/main" count="54" uniqueCount="50">
  <si>
    <t>序号</t>
  </si>
  <si>
    <t>名字</t>
  </si>
  <si>
    <t>码</t>
  </si>
  <si>
    <t>香连止痢丸</t>
  </si>
  <si>
    <t>问题序号</t>
  </si>
  <si>
    <t>问题内容</t>
  </si>
  <si>
    <t>问题1</t>
  </si>
  <si>
    <t>该处方是由哪些药材组成的？</t>
  </si>
  <si>
    <t>问题2</t>
  </si>
  <si>
    <t>该处方适用于哪些病症？</t>
  </si>
  <si>
    <t>问题3</t>
  </si>
  <si>
    <t>该处方常规的用法用量？</t>
  </si>
  <si>
    <t>问题4</t>
  </si>
  <si>
    <t>该处方是饭前吃还是饭后吃？</t>
  </si>
  <si>
    <t>问题5</t>
  </si>
  <si>
    <t>该处方的使用注意事项有哪些？</t>
  </si>
  <si>
    <t>问题6</t>
  </si>
  <si>
    <t>该处方的适用人群有哪些呢？</t>
  </si>
  <si>
    <t>问题7</t>
  </si>
  <si>
    <t>服用该处方症状好转后可以提前停药吗？</t>
  </si>
  <si>
    <t>问题8</t>
  </si>
  <si>
    <t>服用该处方期间能否服用感冒药呢？</t>
  </si>
  <si>
    <t>问题9</t>
  </si>
  <si>
    <t>分析该处方的配伍特点。</t>
  </si>
  <si>
    <t>问题10</t>
  </si>
  <si>
    <t>该处方的来源？</t>
  </si>
  <si>
    <t>问题11</t>
  </si>
  <si>
    <t>该处方与香连丸的区别？</t>
  </si>
  <si>
    <t>问题1答案</t>
  </si>
  <si>
    <t>问题2答案</t>
  </si>
  <si>
    <t>问题3答案</t>
  </si>
  <si>
    <t>问题4答案</t>
  </si>
  <si>
    <t>问题5答案</t>
  </si>
  <si>
    <t>问题6答案</t>
  </si>
  <si>
    <t>问题7答案</t>
  </si>
  <si>
    <t>问题8答案</t>
  </si>
  <si>
    <t>问题9答案</t>
  </si>
  <si>
    <t>问题10答案</t>
  </si>
  <si>
    <t>问题11答案</t>
  </si>
  <si>
    <t>该处方的组成主要为：生黄连/木香/马齿苋/金银花/麸炒白术/茯苓/炒白扁豆/陈皮/炙甘草九味药材。</t>
  </si>
  <si>
    <t>该处方针对的病症主要有：腹痛泄泻、泻下不爽或痢下赤白、里急后重，脘腹胀满、恶心欲呕、纳差、口干、舌苔黄腻、脉滑数等。</t>
  </si>
  <si>
    <t>口服，一次3-6克，一日2-3次。</t>
  </si>
  <si>
    <t>饭后吃。</t>
  </si>
  <si>
    <t>辨证适用：仅限胃肠湿热、脾虚气滞所致小儿急性腹泻，寒湿、虚寒型腹泻禁用。
脾胃养护：方中黄连苦寒，不可过量、久服，防止苦寒伤脾胃。
饮食禁忌：服药期间忌食生冷、油腻、辛辣、不易消化食物，饮食宜清淡。
联用禁忌：不宜同服温热、滋补类中药 / 中成药，避免加重湿热。
特殊人群：儿童需按年龄体重减量，在成人监护下使用。
停药原则：症状好转、大便正常后可停药，不可过早骤停，防止反复。
病情监测：若腹泻加重、高热、脱水或服药 3 天无缓解，应立即就医。
过敏禁忌：对处方成分过敏者禁用，过敏体质者慎用。</t>
  </si>
  <si>
    <t>本处方主要适用于胃肠湿热、脾虚气滞所致的小儿急性腹泻人群，具体为出现腹痛泄泻、泻下不爽或痢下赤白、里急后重，伴脘腹胀满、恶心欲呕、食欲差、口干、舌苔黄腻、脉滑数的患儿。</t>
  </si>
  <si>
    <t>服用本品症状好转且大便正常后可提前停药，但不可在症状未完全消除时过早停药，以防病情反复。</t>
  </si>
  <si>
    <t>可以短期、谨慎联用，但必须避开温热、滋补类感冒药，并间隔服用。安全服用建议
两种药间隔 1～2 小时
优先选成分简单的西药感冒药（如单纯解热镇痛、抗过敏）
服药期间清淡饮食、不生冷油腻
儿童、脾胃虚弱者先问医生再联用</t>
  </si>
  <si>
    <t>本方以黄连为君，清热燥湿、泻火解毒，直清胃肠湿热；以木香、马齿苋、金银花为臣，木香行气止痛、除里急后重，马齿苋、金银花清热解毒、凉血止痢，辅助君药增强清热止痢之效；以麸炒白术、茯苓、炒白扁豆、陈皮为佐，白术、茯苓、白扁豆健脾渗湿止泻、顾护脾胃以防苦寒伤中，陈皮理气健脾、燥湿消胀，助木香行气和胃；以炙甘草为使，益气补中、清热解毒、调和诸药，缓和黄连苦寒之性；全方配伍，共奏清热燥湿、理气和胃、健脾止泻之功，主治胃肠湿热、脾虚气滞所致小儿急性腹泻。</t>
  </si>
  <si>
    <t>该处方是在香连丸基础上增加药味化裁而来，为用于小儿急性腹泻的香连止痢丸（微丸）。</t>
  </si>
  <si>
    <t>与香连丸的区别
药味更多：在黄连、木香基础上，加炒白扁豆、马齿苋、金银花、陈皮、茯苓、麸炒白术、炙甘草，兼顾清热止痢与健脾和胃；
功效扩展：从单纯清热燥湿、行气止痛，变为清热燥湿、理气和胃、健脾止泻，更适合胃肠湿热兼脾虚气滞的小儿急性腹泻；
剂型与工艺：为肠溶微丸，采用 “隔离衣 + 肠溶衣” 两步包衣，减少苦寒伤胃与挥发油流失，专为小儿用药设计。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</si>
</sst>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zoomScale="190" zoomScaleNormal="190" workbookViewId="0">
      <selection activeCell="C4" sqref="C4"/>
    </sheetView>
  </sheetViews>
  <sheetFormatPr defaultColWidth="9" defaultRowHeight="14.1" outlineLevelCol="2"/>
  <cols>
    <col min="2" max="2" width="13.972972972973" customWidth="1"/>
    <col min="3" max="3" width="25.6306306306306" customWidth="1"/>
  </cols>
  <sheetData>
    <row r="1" spans="1:3">
      <c r="A1" t="s">
        <v>0</v>
      </c>
      <c r="B1" t="s">
        <v>1</v>
      </c>
      <c r="C1" t="s">
        <v>2</v>
      </c>
    </row>
    <row r="2" ht="145.85" spans="1:3">
      <c r="A2">
        <v>1</v>
      </c>
      <c r="B2" t="s">
        <v>3</v>
      </c>
      <c r="C2" t="str">
        <f>_xlfn.DISPIMG("ID_4053969169A24C5BB28A523DED0B64BB",1)</f>
        <v>=DISPIMG("ID_4053969169A24C5BB28A523DED0B64BB",1)</v>
      </c>
    </row>
    <row r="3" spans="1:3">
      <c r="A3">
        <v>2</v>
      </c>
    </row>
    <row r="4" spans="1:3">
      <c r="A4">
        <v>3</v>
      </c>
    </row>
    <row r="5" spans="1:3">
      <c r="A5">
        <v>4</v>
      </c>
    </row>
    <row r="6" spans="1:3">
      <c r="A6">
        <v>5</v>
      </c>
    </row>
    <row r="7" spans="1:3">
      <c r="A7">
        <v>6</v>
      </c>
    </row>
    <row r="8" spans="1:3">
      <c r="A8">
        <v>7</v>
      </c>
    </row>
    <row r="9" spans="1:3">
      <c r="A9">
        <v>8</v>
      </c>
    </row>
    <row r="10" spans="1:3">
      <c r="A10">
        <v>9</v>
      </c>
    </row>
    <row r="11" spans="1:3">
      <c r="A11">
        <v>10</v>
      </c>
    </row>
    <row r="12" spans="1:3">
      <c r="A12">
        <v>11</v>
      </c>
    </row>
    <row r="13" spans="1:3">
      <c r="A13">
        <v>12</v>
      </c>
    </row>
    <row r="14" spans="1:3">
      <c r="A14">
        <v>13</v>
      </c>
    </row>
    <row r="15" spans="1:3">
      <c r="A15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zoomScale="205" zoomScaleNormal="205" workbookViewId="0">
      <selection activeCell="B10" sqref="B10"/>
    </sheetView>
  </sheetViews>
  <sheetFormatPr defaultColWidth="9" defaultRowHeight="14.1" outlineLevelCol="1"/>
  <cols>
    <col min="2" max="2" width="34.8198198198198" customWidth="1"/>
    <col min="3" max="3" width="13.6666666666667" customWidth="1"/>
    <col min="4" max="4" width="14.4324324324324" customWidth="1"/>
    <col min="5" max="5" width="12.1081081081081" customWidth="1"/>
    <col min="6" max="6" width="11.954954954955" customWidth="1"/>
  </cols>
  <sheetData>
    <row r="1" spans="1:2">
      <c r="A1" t="s">
        <v>4</v>
      </c>
      <c r="B1" t="s">
        <v>5</v>
      </c>
    </row>
    <row r="2" spans="1:2">
      <c r="A2" t="s">
        <v>6</v>
      </c>
      <c r="B2" t="s">
        <v>7</v>
      </c>
    </row>
    <row r="3" spans="1:2">
      <c r="A3" t="s">
        <v>8</v>
      </c>
      <c r="B3" t="s">
        <v>9</v>
      </c>
    </row>
    <row r="4" spans="1:2">
      <c r="A4" t="s">
        <v>10</v>
      </c>
      <c r="B4" t="s">
        <v>11</v>
      </c>
    </row>
    <row r="5" spans="1:2">
      <c r="A5" t="s">
        <v>12</v>
      </c>
      <c r="B5" t="s">
        <v>13</v>
      </c>
    </row>
    <row r="6" spans="1:2">
      <c r="A6" t="s">
        <v>14</v>
      </c>
      <c r="B6" t="s">
        <v>15</v>
      </c>
    </row>
    <row r="7" spans="1:2">
      <c r="A7" t="s">
        <v>16</v>
      </c>
      <c r="B7" t="s">
        <v>17</v>
      </c>
    </row>
    <row r="8" spans="1:2">
      <c r="A8" t="s">
        <v>18</v>
      </c>
      <c r="B8" t="s">
        <v>19</v>
      </c>
    </row>
    <row r="9" spans="1:2">
      <c r="A9" t="s">
        <v>20</v>
      </c>
      <c r="B9" t="s">
        <v>21</v>
      </c>
    </row>
    <row r="10" spans="1:2">
      <c r="A10" t="s">
        <v>22</v>
      </c>
      <c r="B10" t="s">
        <v>23</v>
      </c>
    </row>
    <row r="11" spans="1:2">
      <c r="A11" t="s">
        <v>24</v>
      </c>
      <c r="B11" t="s">
        <v>25</v>
      </c>
    </row>
    <row r="12" spans="1:2">
      <c r="A12" t="s">
        <v>26</v>
      </c>
      <c r="B12" t="s">
        <v>27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B1" workbookViewId="0">
      <selection activeCell="L2" sqref="L2"/>
    </sheetView>
  </sheetViews>
  <sheetFormatPr defaultColWidth="9" defaultRowHeight="14.1" outlineLevelRow="1"/>
  <cols>
    <col min="2" max="2" width="13.972972972973" customWidth="1"/>
    <col min="4" max="4" width="19.3783783783784" customWidth="1"/>
    <col min="5" max="5" width="10.8738738738739" customWidth="1"/>
    <col min="6" max="6" width="15.5135135135135" customWidth="1"/>
    <col min="7" max="7" width="9.64864864864865" customWidth="1"/>
    <col min="8" max="8" width="22.3783783783784" customWidth="1"/>
    <col min="9" max="9" width="16.5045045045045" customWidth="1"/>
    <col min="10" max="10" width="11.5045045045045" customWidth="1"/>
    <col min="11" max="11" width="18.8738738738739" customWidth="1"/>
    <col min="12" max="12" width="19.5045045045045" customWidth="1"/>
    <col min="14" max="14" width="16.8738738738739" customWidth="1"/>
  </cols>
  <sheetData>
    <row r="1" spans="1:14">
      <c r="A1" t="s">
        <v>0</v>
      </c>
      <c r="B1" t="s">
        <v>1</v>
      </c>
      <c r="C1" t="s">
        <v>2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</row>
    <row r="2" ht="409" customHeight="1" spans="1:14">
      <c r="A2">
        <v>1</v>
      </c>
      <c r="B2" t="s">
        <v>3</v>
      </c>
      <c r="C2" t="str">
        <f>_xlfn.DISPIMG("ID_4053969169A24C5BB28A523DED0B64BB",1)</f>
        <v>=DISPIMG("ID_4053969169A24C5BB28A523DED0B64BB",1)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药方库</vt:lpstr>
      <vt:lpstr>问题库</vt:lpstr>
      <vt:lpstr>答案库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BuSu</dc:creator>
  <cp:lastModifiedBy>不夙</cp:lastModifiedBy>
  <dcterms:created xsi:type="dcterms:W3CDTF">2023-05-12T11:15:00Z</dcterms:created>
  <dcterms:modified xsi:type="dcterms:W3CDTF">2026-04-28T14:49:09Z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D747C419545A48AA99E3EC9726D88525_12</vt:lpwstr>
  </property>
  <property fmtid="{D5CDD505-2E9C-101B-9397-08002B2CF9AE}" pid="4" name="CalculationRule">
    <vt:i4>0</vt:i4>
  </property>
</Properties>
</file>